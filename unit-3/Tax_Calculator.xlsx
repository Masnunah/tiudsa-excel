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tiu-my.sharepoint.com/personal/s25224556_al_tiu_ac_jp/Documents/"/>
    </mc:Choice>
  </mc:AlternateContent>
  <xr:revisionPtr revIDLastSave="0" documentId="14_{C5F45F8D-3CA1-4692-83DC-15E1A50213B1}" xr6:coauthVersionLast="47" xr6:coauthVersionMax="47" xr10:uidLastSave="{00000000-0000-0000-0000-000000000000}"/>
  <bookViews>
    <workbookView xWindow="11424" yWindow="0" windowWidth="11712" windowHeight="12336" xr2:uid="{CFC0E142-458B-4A65-848B-8D7CD9BEAC31}"/>
  </bookViews>
  <sheets>
    <sheet name="Sheet1" sheetId="1" r:id="rId1"/>
  </sheets>
  <definedNames>
    <definedName name="PriceList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6" i="1"/>
  <c r="D9" i="1"/>
  <c r="D12" i="1"/>
  <c r="D13" i="1"/>
  <c r="D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C10" i="1"/>
  <c r="D10" i="1" s="1"/>
  <c r="C11" i="1"/>
  <c r="D11" i="1" s="1"/>
  <c r="C12" i="1"/>
  <c r="C13" i="1"/>
  <c r="C14" i="1"/>
  <c r="D14" i="1" s="1"/>
  <c r="C15" i="1"/>
  <c r="D15" i="1" s="1"/>
  <c r="C16" i="1"/>
  <c r="D16" i="1" s="1"/>
  <c r="C2" i="1"/>
  <c r="G12" i="1" l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<sst xmlns="http://schemas.openxmlformats.org/spreadsheetml/2006/main" count="23" uniqueCount="23">
  <si>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</si>
  <si>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</si>
  <si>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</si>
  <si>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Price</t>
  </si>
  <si>
    <t>Tax rate</t>
  </si>
  <si>
    <t>Notebook</t>
  </si>
  <si>
    <t>Penset</t>
  </si>
  <si>
    <t>Desk lamp</t>
  </si>
  <si>
    <t>USB hub</t>
  </si>
  <si>
    <t>wireless mouse</t>
  </si>
  <si>
    <t>keyboard</t>
  </si>
  <si>
    <t>Stapler</t>
  </si>
  <si>
    <t>Monitor stand</t>
  </si>
  <si>
    <t>Mousepad</t>
  </si>
  <si>
    <t>Webcam</t>
  </si>
  <si>
    <t>White board</t>
  </si>
  <si>
    <t>Marker set</t>
  </si>
  <si>
    <t>Folder pack</t>
  </si>
  <si>
    <t>Headphones</t>
  </si>
  <si>
    <t>Sticky note</t>
  </si>
  <si>
    <t>Total Price(using name range)</t>
  </si>
  <si>
    <t>Total tax(using price range)</t>
  </si>
  <si>
    <t>Total fine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</si>
</sst>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C3B4-8DFA-4DD3-8C99-768BD3331943}">
  <dimension ref="A1:G16"/>
  <sheetViews>
    <sheetView tabSelected="1" workbookViewId="0">
      <selection activeCell="G10" sqref="G10"/>
    </sheetView>
  </sheetViews>
  <sheetFormatPr defaultRowHeight="14.4"/>
  <cols>
    <col min="1" max="1" width="14.44140625" bestFit="1" customWidth="1"/>
    <col min="3" max="3" width="10.33203125" customWidth="1"/>
    <col min="4" max="4" width="9.8867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7">
      <c r="A2" s="1" t="s">
        <v>5</v>
      </c>
      <c r="B2">
        <v>100</v>
      </c>
      <c r="C2">
        <f>B2*$F$2</f>
        <v>10</v>
      </c>
      <c r="D2">
        <f>B2+C2</f>
        <v>110</v>
      </c>
      <c r="F2">
        <v>0.1</v>
      </c>
    </row>
    <row r="3" spans="1:7">
      <c r="A3" s="1" t="s">
        <v>6</v>
      </c>
      <c r="B3">
        <v>56</v>
      </c>
      <c r="C3">
        <f t="shared" ref="C3:C16" si="0">B3*$F$2</f>
        <v>5.6000000000000005</v>
      </c>
      <c r="D3">
        <f t="shared" ref="D3:D16" si="1">B3+C3</f>
        <v>61.6</v>
      </c>
    </row>
    <row r="4" spans="1:7">
      <c r="A4" s="1" t="s">
        <v>7</v>
      </c>
      <c r="B4">
        <v>100</v>
      </c>
      <c r="C4">
        <f t="shared" si="0"/>
        <v>10</v>
      </c>
      <c r="D4">
        <f t="shared" si="1"/>
        <v>110</v>
      </c>
    </row>
    <row r="5" spans="1:7">
      <c r="A5" s="1" t="s">
        <v>11</v>
      </c>
      <c r="B5">
        <v>120</v>
      </c>
      <c r="C5">
        <f t="shared" si="0"/>
        <v>12</v>
      </c>
      <c r="D5">
        <f t="shared" si="1"/>
        <v>132</v>
      </c>
      <c r="F5" t="s">
        <v>20</v>
      </c>
    </row>
    <row r="6" spans="1:7">
      <c r="A6" s="1" t="s">
        <v>19</v>
      </c>
      <c r="B6">
        <v>100</v>
      </c>
      <c r="C6">
        <f t="shared" si="0"/>
        <v>10</v>
      </c>
      <c r="D6">
        <f t="shared" si="1"/>
        <v>110</v>
      </c>
      <c r="G6">
        <f>SUM(PriceList)</f>
        <v>2482</v>
      </c>
    </row>
    <row r="7" spans="1:7">
      <c r="A7" s="1" t="s">
        <v>8</v>
      </c>
      <c r="B7">
        <v>500</v>
      </c>
      <c r="C7">
        <f t="shared" si="0"/>
        <v>50</v>
      </c>
      <c r="D7">
        <f t="shared" si="1"/>
        <v>550</v>
      </c>
    </row>
    <row r="8" spans="1:7">
      <c r="A8" s="1" t="s">
        <v>9</v>
      </c>
      <c r="B8">
        <v>34</v>
      </c>
      <c r="C8">
        <f t="shared" si="0"/>
        <v>3.4000000000000004</v>
      </c>
      <c r="D8">
        <f t="shared" si="1"/>
        <v>37.4</v>
      </c>
      <c r="F8" t="s">
        <v>21</v>
      </c>
    </row>
    <row r="9" spans="1:7">
      <c r="A9" s="1" t="s">
        <v>10</v>
      </c>
      <c r="B9">
        <v>100</v>
      </c>
      <c r="C9">
        <f t="shared" si="0"/>
        <v>10</v>
      </c>
      <c r="D9">
        <f t="shared" si="1"/>
        <v>110</v>
      </c>
      <c r="G9">
        <f>SUM(PriceList)*$F$2</f>
        <v>248.20000000000002</v>
      </c>
    </row>
    <row r="10" spans="1:7">
      <c r="A10" s="1" t="s">
        <v>12</v>
      </c>
      <c r="B10">
        <v>123</v>
      </c>
      <c r="C10">
        <f t="shared" si="0"/>
        <v>12.3</v>
      </c>
      <c r="D10">
        <f t="shared" si="1"/>
        <v>135.30000000000001</v>
      </c>
    </row>
    <row r="11" spans="1:7">
      <c r="A11" s="1" t="s">
        <v>14</v>
      </c>
      <c r="B11">
        <v>100</v>
      </c>
      <c r="C11">
        <f t="shared" si="0"/>
        <v>10</v>
      </c>
      <c r="D11">
        <f t="shared" si="1"/>
        <v>110</v>
      </c>
      <c r="G11" t="s">
        <v>22</v>
      </c>
    </row>
    <row r="12" spans="1:7">
      <c r="A12" s="1" t="s">
        <v>13</v>
      </c>
      <c r="B12">
        <v>350</v>
      </c>
      <c r="C12">
        <f t="shared" si="0"/>
        <v>35</v>
      </c>
      <c r="D12">
        <f t="shared" si="1"/>
        <v>385</v>
      </c>
      <c r="G12">
        <f>G6+G9</f>
        <v>2730.2</v>
      </c>
    </row>
    <row r="13" spans="1:7">
      <c r="A13" s="1" t="s">
        <v>17</v>
      </c>
      <c r="B13">
        <v>100</v>
      </c>
      <c r="C13">
        <f t="shared" si="0"/>
        <v>10</v>
      </c>
      <c r="D13">
        <f t="shared" si="1"/>
        <v>110</v>
      </c>
    </row>
    <row r="14" spans="1:7">
      <c r="A14" s="1" t="s">
        <v>15</v>
      </c>
      <c r="B14">
        <v>456</v>
      </c>
      <c r="C14">
        <f t="shared" si="0"/>
        <v>45.6</v>
      </c>
      <c r="D14">
        <f t="shared" si="1"/>
        <v>501.6</v>
      </c>
    </row>
    <row r="15" spans="1:7">
      <c r="A15" s="1" t="s">
        <v>16</v>
      </c>
      <c r="B15">
        <v>120</v>
      </c>
      <c r="C15">
        <f t="shared" si="0"/>
        <v>12</v>
      </c>
      <c r="D15">
        <f t="shared" si="1"/>
        <v>132</v>
      </c>
    </row>
    <row r="16" spans="1:7">
      <c r="A16" s="1" t="s">
        <v>18</v>
      </c>
      <c r="B16">
        <v>123</v>
      </c>
      <c r="C16">
        <f t="shared" si="0"/>
        <v>12.3</v>
      </c>
      <c r="D16">
        <f t="shared" si="1"/>
        <v>135.30000000000001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CAAB14F35665A419EC184BDB6F4F54B" ma:contentTypeVersion="5" ma:contentTypeDescription="新しいドキュメントを作成します。" ma:contentTypeScope="" ma:versionID="78828c022473acccf4b5a87ff90edd7e">
  <xsd:schema xmlns:xsd="http://www.w3.org/2001/XMLSchema" xmlns:xs="http://www.w3.org/2001/XMLSchema" xmlns:p="http://schemas.microsoft.com/office/2006/metadata/properties" xmlns:ns3="7c50f826-df34-4234-bf0d-eab5c6fb343a" targetNamespace="http://schemas.microsoft.com/office/2006/metadata/properties" ma:root="true" ma:fieldsID="9c9bbaa9528e834d5d6cbe1f3a1c4ef0" ns3:_="">
    <xsd:import namespace="7c50f826-df34-4234-bf0d-eab5c6fb34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0f826-df34-4234-bf0d-eab5c6fb34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50f826-df34-4234-bf0d-eab5c6fb343a" xsi:nil="true"/>
  </documentManagement>
</p:properties>
</file>

<file path=customXml/itemProps1.xml><?xml version="1.0" encoding="utf-8"?>
<ds:datastoreItem xmlns:ds="http://schemas.openxmlformats.org/officeDocument/2006/customXml" ds:itemID="{52D53C5C-C756-4176-8047-61A179B389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6ADC11-1690-4261-BAE5-1B236B99BE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0f826-df34-4234-bf0d-eab5c6fb34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63E394-F6A0-4865-906F-C30F1751C58F}">
  <ds:schemaRefs>
    <ds:schemaRef ds:uri="http://schemas.microsoft.com/office/2006/metadata/properties"/>
    <ds:schemaRef ds:uri="http://purl.org/dc/elements/1.1/"/>
    <ds:schemaRef ds:uri="7c50f826-df34-4234-bf0d-eab5c6fb343a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s25224556</dc:creator>
  <cp:lastModifiedBy>s25224556</cp:lastModifiedBy>
  <dcterms:created xsi:type="dcterms:W3CDTF">2026-05-19T09:16:22Z</dcterms:created>
  <dcterms:modified xsi:type="dcterms:W3CDTF">2026-05-20T02:13:24Z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0x010100BCAAB14F35665A419EC184BDB6F4F54B</vt:lpwstr>
  </property>
</Properties>
</file>